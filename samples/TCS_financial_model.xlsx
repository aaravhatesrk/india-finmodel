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Income" sheetId="2" state="visible" r:id="rId2"/>
    <sheet xmlns:r="http://schemas.openxmlformats.org/officeDocument/2006/relationships" name="Balance" sheetId="3" state="visible" r:id="rId3"/>
    <sheet xmlns:r="http://schemas.openxmlformats.org/officeDocument/2006/relationships" name="Cash Flow" sheetId="4" state="visible" r:id="rId4"/>
    <sheet xmlns:r="http://schemas.openxmlformats.org/officeDocument/2006/relationships" name="DCF Inpu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b val="1"/>
      <color rgb="000F766E"/>
      <sz val="14"/>
    </font>
    <font>
      <i val="1"/>
      <color rgb="00555555"/>
    </font>
    <font>
      <color rgb="00888888"/>
      <sz val="9"/>
    </font>
    <font>
      <b val="1"/>
      <color rgb="00FFFFFF"/>
    </font>
    <font>
      <i val="1"/>
      <color rgb="00888888"/>
      <sz val="9"/>
    </font>
  </fonts>
  <fills count="3">
    <fill>
      <patternFill/>
    </fill>
    <fill>
      <patternFill patternType="gray125"/>
    </fill>
    <fill>
      <patternFill patternType="solid">
        <fgColor rgb="000F766E"/>
        <b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164" fontId="0" fillId="0" borderId="0" pivotButton="0" quotePrefix="0" xfId="0"/>
    <xf numFmtId="0" fontId="5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Income trend</a:t>
            </a:r>
          </a:p>
        </rich>
      </tx>
    </title>
    <plotArea>
      <lineChart>
        <grouping val="standard"/>
        <ser>
          <idx val="0"/>
          <order val="0"/>
          <tx>
            <strRef>
              <f>'Income'!B3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'Income'!$A$4:$A$15</f>
            </numRef>
          </cat>
          <val>
            <numRef>
              <f>'Income'!$B$4:$B$15</f>
            </numRef>
          </val>
        </ser>
        <ser>
          <idx val="1"/>
          <order val="1"/>
          <tx>
            <strRef>
              <f>'Income'!C3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'Income'!$A$4:$A$15</f>
            </numRef>
          </cat>
          <val>
            <numRef>
              <f>'Income'!$C$4:$C$15</f>
            </numRef>
          </val>
        </ser>
        <ser>
          <idx val="2"/>
          <order val="2"/>
          <tx>
            <strRef>
              <f>'Income'!D3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'Income'!$A$4:$A$15</f>
            </numRef>
          </cat>
          <val>
            <numRef>
              <f>'Income'!$D$4:$D$15</f>
            </numRef>
          </val>
        </ser>
        <ser>
          <idx val="3"/>
          <order val="3"/>
          <tx>
            <strRef>
              <f>'Income'!E3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'Income'!$A$4:$A$15</f>
            </numRef>
          </cat>
          <val>
            <numRef>
              <f>'Income'!$E$4:$E$15</f>
            </numRef>
          </val>
        </ser>
        <ser>
          <idx val="4"/>
          <order val="4"/>
          <tx>
            <strRef>
              <f>'Income'!F3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'Income'!$A$4:$A$15</f>
            </numRef>
          </cat>
          <val>
            <numRef>
              <f>'Income'!$F$4:$F$15</f>
            </numRef>
          </val>
        </ser>
        <ser>
          <idx val="5"/>
          <order val="5"/>
          <tx>
            <strRef>
              <f>'Income'!G3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'Income'!$A$4:$A$15</f>
            </numRef>
          </cat>
          <val>
            <numRef>
              <f>'Income'!$G$4:$G$15</f>
            </numRef>
          </val>
        </ser>
        <ser>
          <idx val="6"/>
          <order val="6"/>
          <tx>
            <strRef>
              <f>'Income'!H3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'Income'!$A$4:$A$15</f>
            </numRef>
          </cat>
          <val>
            <numRef>
              <f>'Income'!$H$4:$H$15</f>
            </numRef>
          </val>
        </ser>
        <ser>
          <idx val="7"/>
          <order val="7"/>
          <tx>
            <strRef>
              <f>'Income'!I3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'Income'!$A$4:$A$15</f>
            </numRef>
          </cat>
          <val>
            <numRef>
              <f>'Income'!$I$4:$I$15</f>
            </numRef>
          </val>
        </ser>
        <ser>
          <idx val="8"/>
          <order val="8"/>
          <tx>
            <strRef>
              <f>'Income'!J3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'Income'!$A$4:$A$15</f>
            </numRef>
          </cat>
          <val>
            <numRef>
              <f>'Income'!$J$4:$J$15</f>
            </numRef>
          </val>
        </ser>
        <ser>
          <idx val="9"/>
          <order val="9"/>
          <tx>
            <strRef>
              <f>'Income'!K3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'Income'!$A$4:$A$15</f>
            </numRef>
          </cat>
          <val>
            <numRef>
              <f>'Income'!$K$4:$K$15</f>
            </numRef>
          </val>
        </ser>
        <ser>
          <idx val="10"/>
          <order val="10"/>
          <tx>
            <strRef>
              <f>'Income'!L3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'Income'!$A$4:$A$15</f>
            </numRef>
          </cat>
          <val>
            <numRef>
              <f>'Income'!$L$4:$L$15</f>
            </numRef>
          </val>
        </ser>
        <ser>
          <idx val="11"/>
          <order val="11"/>
          <tx>
            <strRef>
              <f>'Income'!M3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'Income'!$A$4:$A$15</f>
            </numRef>
          </cat>
          <val>
            <numRef>
              <f>'Income'!$M$4:$M$15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Metric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Balance trend</a:t>
            </a:r>
          </a:p>
        </rich>
      </tx>
    </title>
    <plotArea>
      <lineChart>
        <grouping val="standard"/>
        <ser>
          <idx val="0"/>
          <order val="0"/>
          <tx>
            <strRef>
              <f>'Balance'!B3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'Balance'!$A$4:$A$13</f>
            </numRef>
          </cat>
          <val>
            <numRef>
              <f>'Balance'!$B$4:$B$13</f>
            </numRef>
          </val>
        </ser>
        <ser>
          <idx val="1"/>
          <order val="1"/>
          <tx>
            <strRef>
              <f>'Balance'!C3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'Balance'!$A$4:$A$13</f>
            </numRef>
          </cat>
          <val>
            <numRef>
              <f>'Balance'!$C$4:$C$13</f>
            </numRef>
          </val>
        </ser>
        <ser>
          <idx val="2"/>
          <order val="2"/>
          <tx>
            <strRef>
              <f>'Balance'!D3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'Balance'!$A$4:$A$13</f>
            </numRef>
          </cat>
          <val>
            <numRef>
              <f>'Balance'!$D$4:$D$13</f>
            </numRef>
          </val>
        </ser>
        <ser>
          <idx val="3"/>
          <order val="3"/>
          <tx>
            <strRef>
              <f>'Balance'!E3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'Balance'!$A$4:$A$13</f>
            </numRef>
          </cat>
          <val>
            <numRef>
              <f>'Balance'!$E$4:$E$13</f>
            </numRef>
          </val>
        </ser>
        <ser>
          <idx val="4"/>
          <order val="4"/>
          <tx>
            <strRef>
              <f>'Balance'!F3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'Balance'!$A$4:$A$13</f>
            </numRef>
          </cat>
          <val>
            <numRef>
              <f>'Balance'!$F$4:$F$13</f>
            </numRef>
          </val>
        </ser>
        <ser>
          <idx val="5"/>
          <order val="5"/>
          <tx>
            <strRef>
              <f>'Balance'!G3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'Balance'!$A$4:$A$13</f>
            </numRef>
          </cat>
          <val>
            <numRef>
              <f>'Balance'!$G$4:$G$13</f>
            </numRef>
          </val>
        </ser>
        <ser>
          <idx val="6"/>
          <order val="6"/>
          <tx>
            <strRef>
              <f>'Balance'!H3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'Balance'!$A$4:$A$13</f>
            </numRef>
          </cat>
          <val>
            <numRef>
              <f>'Balance'!$H$4:$H$13</f>
            </numRef>
          </val>
        </ser>
        <ser>
          <idx val="7"/>
          <order val="7"/>
          <tx>
            <strRef>
              <f>'Balance'!I3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'Balance'!$A$4:$A$13</f>
            </numRef>
          </cat>
          <val>
            <numRef>
              <f>'Balance'!$I$4:$I$13</f>
            </numRef>
          </val>
        </ser>
        <ser>
          <idx val="8"/>
          <order val="8"/>
          <tx>
            <strRef>
              <f>'Balance'!J3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'Balance'!$A$4:$A$13</f>
            </numRef>
          </cat>
          <val>
            <numRef>
              <f>'Balance'!$J$4:$J$13</f>
            </numRef>
          </val>
        </ser>
        <ser>
          <idx val="9"/>
          <order val="9"/>
          <tx>
            <strRef>
              <f>'Balance'!K3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'Balance'!$A$4:$A$13</f>
            </numRef>
          </cat>
          <val>
            <numRef>
              <f>'Balance'!$K$4:$K$13</f>
            </numRef>
          </val>
        </ser>
        <ser>
          <idx val="10"/>
          <order val="10"/>
          <tx>
            <strRef>
              <f>'Balance'!L3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'Balance'!$A$4:$A$13</f>
            </numRef>
          </cat>
          <val>
            <numRef>
              <f>'Balance'!$L$4:$L$13</f>
            </numRef>
          </val>
        </ser>
        <ser>
          <idx val="11"/>
          <order val="11"/>
          <tx>
            <strRef>
              <f>'Balance'!M3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'Balance'!$A$4:$A$13</f>
            </numRef>
          </cat>
          <val>
            <numRef>
              <f>'Balance'!$M$4:$M$13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Metric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Cash Flow trend</a:t>
            </a:r>
          </a:p>
        </rich>
      </tx>
    </title>
    <plotArea>
      <lineChart>
        <grouping val="standard"/>
        <ser>
          <idx val="0"/>
          <order val="0"/>
          <tx>
            <strRef>
              <f>'Cash Flow'!B3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Flow'!$A$4:$A$9</f>
            </numRef>
          </cat>
          <val>
            <numRef>
              <f>'Cash Flow'!$B$4:$B$9</f>
            </numRef>
          </val>
        </ser>
        <ser>
          <idx val="1"/>
          <order val="1"/>
          <tx>
            <strRef>
              <f>'Cash Flow'!C3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Flow'!$A$4:$A$9</f>
            </numRef>
          </cat>
          <val>
            <numRef>
              <f>'Cash Flow'!$C$4:$C$9</f>
            </numRef>
          </val>
        </ser>
        <ser>
          <idx val="2"/>
          <order val="2"/>
          <tx>
            <strRef>
              <f>'Cash Flow'!D3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Flow'!$A$4:$A$9</f>
            </numRef>
          </cat>
          <val>
            <numRef>
              <f>'Cash Flow'!$D$4:$D$9</f>
            </numRef>
          </val>
        </ser>
        <ser>
          <idx val="3"/>
          <order val="3"/>
          <tx>
            <strRef>
              <f>'Cash Flow'!E3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Flow'!$A$4:$A$9</f>
            </numRef>
          </cat>
          <val>
            <numRef>
              <f>'Cash Flow'!$E$4:$E$9</f>
            </numRef>
          </val>
        </ser>
        <ser>
          <idx val="4"/>
          <order val="4"/>
          <tx>
            <strRef>
              <f>'Cash Flow'!F3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Flow'!$A$4:$A$9</f>
            </numRef>
          </cat>
          <val>
            <numRef>
              <f>'Cash Flow'!$F$4:$F$9</f>
            </numRef>
          </val>
        </ser>
        <ser>
          <idx val="5"/>
          <order val="5"/>
          <tx>
            <strRef>
              <f>'Cash Flow'!G3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Flow'!$A$4:$A$9</f>
            </numRef>
          </cat>
          <val>
            <numRef>
              <f>'Cash Flow'!$G$4:$G$9</f>
            </numRef>
          </val>
        </ser>
        <ser>
          <idx val="6"/>
          <order val="6"/>
          <tx>
            <strRef>
              <f>'Cash Flow'!H3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Flow'!$A$4:$A$9</f>
            </numRef>
          </cat>
          <val>
            <numRef>
              <f>'Cash Flow'!$H$4:$H$9</f>
            </numRef>
          </val>
        </ser>
        <ser>
          <idx val="7"/>
          <order val="7"/>
          <tx>
            <strRef>
              <f>'Cash Flow'!I3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Flow'!$A$4:$A$9</f>
            </numRef>
          </cat>
          <val>
            <numRef>
              <f>'Cash Flow'!$I$4:$I$9</f>
            </numRef>
          </val>
        </ser>
        <ser>
          <idx val="8"/>
          <order val="8"/>
          <tx>
            <strRef>
              <f>'Cash Flow'!J3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Flow'!$A$4:$A$9</f>
            </numRef>
          </cat>
          <val>
            <numRef>
              <f>'Cash Flow'!$J$4:$J$9</f>
            </numRef>
          </val>
        </ser>
        <ser>
          <idx val="9"/>
          <order val="9"/>
          <tx>
            <strRef>
              <f>'Cash Flow'!K3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Flow'!$A$4:$A$9</f>
            </numRef>
          </cat>
          <val>
            <numRef>
              <f>'Cash Flow'!$K$4:$K$9</f>
            </numRef>
          </val>
        </ser>
        <ser>
          <idx val="10"/>
          <order val="10"/>
          <tx>
            <strRef>
              <f>'Cash Flow'!L3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Flow'!$A$4:$A$9</f>
            </numRef>
          </cat>
          <val>
            <numRef>
              <f>'Cash Flow'!$L$4:$L$9</f>
            </numRef>
          </val>
        </ser>
        <ser>
          <idx val="11"/>
          <order val="11"/>
          <tx>
            <strRef>
              <f>'Cash Flow'!M3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Flow'!$A$4:$A$9</f>
            </numRef>
          </cat>
          <val>
            <numRef>
              <f>'Cash Flow'!$M$4:$M$9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Metric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17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15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11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tabColor rgb="000F766E"/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</cols>
  <sheetData>
    <row r="1">
      <c r="A1" s="1" t="inlineStr">
        <is>
          <t>Tata Consultancy Services Ltd</t>
        </is>
      </c>
    </row>
    <row r="2">
      <c r="A2" s="2" t="inlineStr">
        <is>
          <t>Symbol: TCS</t>
        </is>
      </c>
    </row>
    <row r="3">
      <c r="A3" s="3" t="inlineStr">
        <is>
          <t>Source: https://www.screener.in/company/TCS/consolidated/</t>
        </is>
      </c>
    </row>
    <row r="4"/>
    <row r="5">
      <c r="A5" s="4" t="inlineStr">
        <is>
          <t>Key Ratio</t>
        </is>
      </c>
      <c r="B5" s="4" t="inlineStr">
        <is>
          <t>Value</t>
        </is>
      </c>
    </row>
    <row r="6">
      <c r="A6" t="inlineStr">
        <is>
          <t>Market Cap</t>
        </is>
      </c>
      <c r="B6" t="inlineStr">
        <is>
          <t>₹ 7,57,881 Cr.</t>
        </is>
      </c>
    </row>
    <row r="7">
      <c r="A7" t="inlineStr">
        <is>
          <t>Current Price</t>
        </is>
      </c>
      <c r="B7" t="inlineStr">
        <is>
          <t>₹ 2,095</t>
        </is>
      </c>
    </row>
    <row r="8">
      <c r="A8" t="inlineStr">
        <is>
          <t>High / Low</t>
        </is>
      </c>
      <c r="B8" t="inlineStr">
        <is>
          <t>₹ 3,490 / 2,055</t>
        </is>
      </c>
    </row>
    <row r="9">
      <c r="A9" t="inlineStr">
        <is>
          <t>Stock P/E</t>
        </is>
      </c>
      <c r="B9" t="inlineStr">
        <is>
          <t>14.5</t>
        </is>
      </c>
    </row>
    <row r="10">
      <c r="A10" t="inlineStr">
        <is>
          <t>Book Value</t>
        </is>
      </c>
      <c r="B10" t="inlineStr">
        <is>
          <t>₹ 296</t>
        </is>
      </c>
    </row>
    <row r="11">
      <c r="A11" t="inlineStr">
        <is>
          <t>Dividend Yield</t>
        </is>
      </c>
      <c r="B11" t="inlineStr">
        <is>
          <t>3.06 %</t>
        </is>
      </c>
    </row>
    <row r="12">
      <c r="A12" t="inlineStr">
        <is>
          <t>ROCE</t>
        </is>
      </c>
      <c r="B12" t="inlineStr">
        <is>
          <t>63.0 %</t>
        </is>
      </c>
    </row>
    <row r="13">
      <c r="A13" t="inlineStr">
        <is>
          <t>ROE</t>
        </is>
      </c>
      <c r="B13" t="inlineStr">
        <is>
          <t>51.8 %</t>
        </is>
      </c>
    </row>
    <row r="14">
      <c r="A14" t="inlineStr">
        <is>
          <t>Face Value</t>
        </is>
      </c>
      <c r="B14" t="inlineStr">
        <is>
          <t>₹ 1.00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6B6B"/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Income</t>
        </is>
      </c>
    </row>
    <row r="2"/>
    <row r="3">
      <c r="A3" s="4" t="inlineStr">
        <is>
          <t>Metric</t>
        </is>
      </c>
      <c r="B3" s="4" t="inlineStr">
        <is>
          <t>Mar 2015</t>
        </is>
      </c>
      <c r="C3" s="4" t="inlineStr">
        <is>
          <t>Mar 2016</t>
        </is>
      </c>
      <c r="D3" s="4" t="inlineStr">
        <is>
          <t>Mar 2017</t>
        </is>
      </c>
      <c r="E3" s="4" t="inlineStr">
        <is>
          <t>Mar 2018</t>
        </is>
      </c>
      <c r="F3" s="4" t="inlineStr">
        <is>
          <t>Mar 2019</t>
        </is>
      </c>
      <c r="G3" s="4" t="inlineStr">
        <is>
          <t>Mar 2020</t>
        </is>
      </c>
      <c r="H3" s="4" t="inlineStr">
        <is>
          <t>Mar 2021</t>
        </is>
      </c>
      <c r="I3" s="4" t="inlineStr">
        <is>
          <t>Mar 2022</t>
        </is>
      </c>
      <c r="J3" s="4" t="inlineStr">
        <is>
          <t>Mar 2023</t>
        </is>
      </c>
      <c r="K3" s="4" t="inlineStr">
        <is>
          <t>Mar 2024</t>
        </is>
      </c>
      <c r="L3" s="4" t="inlineStr">
        <is>
          <t>Mar 2025</t>
        </is>
      </c>
      <c r="M3" s="4" t="inlineStr">
        <is>
          <t>Mar 2026</t>
        </is>
      </c>
    </row>
    <row r="4">
      <c r="A4" t="inlineStr">
        <is>
          <t>Sales</t>
        </is>
      </c>
      <c r="B4" t="n">
        <v>94648</v>
      </c>
      <c r="C4" t="n">
        <v>108646</v>
      </c>
      <c r="D4" t="n">
        <v>117966</v>
      </c>
      <c r="E4" t="n">
        <v>123104</v>
      </c>
      <c r="F4" t="n">
        <v>146463</v>
      </c>
      <c r="G4" t="n">
        <v>156949</v>
      </c>
      <c r="H4" t="n">
        <v>164177</v>
      </c>
      <c r="I4" t="n">
        <v>191754</v>
      </c>
      <c r="J4" t="n">
        <v>225458</v>
      </c>
      <c r="K4" t="n">
        <v>240893</v>
      </c>
      <c r="L4" t="n">
        <v>255324</v>
      </c>
      <c r="M4" t="n">
        <v>267021</v>
      </c>
    </row>
    <row r="5">
      <c r="A5" t="inlineStr">
        <is>
          <t>Expenses</t>
        </is>
      </c>
      <c r="B5" t="n">
        <v>70167</v>
      </c>
      <c r="C5" t="n">
        <v>77969</v>
      </c>
      <c r="D5" t="n">
        <v>85655</v>
      </c>
      <c r="E5" t="n">
        <v>90588</v>
      </c>
      <c r="F5" t="n">
        <v>106957</v>
      </c>
      <c r="G5" t="n">
        <v>114840</v>
      </c>
      <c r="H5" t="n">
        <v>117631</v>
      </c>
      <c r="I5" t="n">
        <v>138697</v>
      </c>
      <c r="J5" t="n">
        <v>166199</v>
      </c>
      <c r="K5" t="n">
        <v>176597</v>
      </c>
      <c r="L5" t="n">
        <v>187917</v>
      </c>
      <c r="M5" t="n">
        <v>194623</v>
      </c>
    </row>
    <row r="6">
      <c r="A6" t="inlineStr">
        <is>
          <t>Operating Profit</t>
        </is>
      </c>
      <c r="B6" t="n">
        <v>24482</v>
      </c>
      <c r="C6" t="n">
        <v>30677</v>
      </c>
      <c r="D6" t="n">
        <v>32311</v>
      </c>
      <c r="E6" t="n">
        <v>32516</v>
      </c>
      <c r="F6" t="n">
        <v>39506</v>
      </c>
      <c r="G6" t="n">
        <v>42109</v>
      </c>
      <c r="H6" t="n">
        <v>46546</v>
      </c>
      <c r="I6" t="n">
        <v>53057</v>
      </c>
      <c r="J6" t="n">
        <v>59259</v>
      </c>
      <c r="K6" t="n">
        <v>64296</v>
      </c>
      <c r="L6" t="n">
        <v>67407</v>
      </c>
      <c r="M6" t="n">
        <v>72398</v>
      </c>
    </row>
    <row r="7">
      <c r="A7" t="inlineStr">
        <is>
          <t>OPM %</t>
        </is>
      </c>
      <c r="B7" t="inlineStr">
        <is>
          <t>26%</t>
        </is>
      </c>
      <c r="C7" t="inlineStr">
        <is>
          <t>28%</t>
        </is>
      </c>
      <c r="D7" t="inlineStr">
        <is>
          <t>27%</t>
        </is>
      </c>
      <c r="E7" t="inlineStr">
        <is>
          <t>26%</t>
        </is>
      </c>
      <c r="F7" t="inlineStr">
        <is>
          <t>27%</t>
        </is>
      </c>
      <c r="G7" t="inlineStr">
        <is>
          <t>27%</t>
        </is>
      </c>
      <c r="H7" t="inlineStr">
        <is>
          <t>28%</t>
        </is>
      </c>
      <c r="I7" t="inlineStr">
        <is>
          <t>28%</t>
        </is>
      </c>
      <c r="J7" t="inlineStr">
        <is>
          <t>26%</t>
        </is>
      </c>
      <c r="K7" t="inlineStr">
        <is>
          <t>27%</t>
        </is>
      </c>
      <c r="L7" t="inlineStr">
        <is>
          <t>26%</t>
        </is>
      </c>
      <c r="M7" t="inlineStr">
        <is>
          <t>27%</t>
        </is>
      </c>
    </row>
    <row r="8">
      <c r="A8" t="inlineStr">
        <is>
          <t>Other Income</t>
        </is>
      </c>
      <c r="B8" t="n">
        <v>3720</v>
      </c>
      <c r="C8" t="n">
        <v>3084</v>
      </c>
      <c r="D8" t="n">
        <v>4221</v>
      </c>
      <c r="E8" t="n">
        <v>3642</v>
      </c>
      <c r="F8" t="n">
        <v>4311</v>
      </c>
      <c r="G8" t="n">
        <v>4592</v>
      </c>
      <c r="H8" t="n">
        <v>1916</v>
      </c>
      <c r="I8" t="n">
        <v>4018</v>
      </c>
      <c r="J8" t="n">
        <v>3449</v>
      </c>
      <c r="K8" t="n">
        <v>3464</v>
      </c>
      <c r="L8" t="n">
        <v>3962</v>
      </c>
      <c r="M8" t="n">
        <v>-124</v>
      </c>
    </row>
    <row r="9">
      <c r="A9" t="inlineStr">
        <is>
          <t>Interest</t>
        </is>
      </c>
      <c r="B9" t="n">
        <v>104</v>
      </c>
      <c r="C9" t="n">
        <v>33</v>
      </c>
      <c r="D9" t="n">
        <v>32</v>
      </c>
      <c r="E9" t="n">
        <v>52</v>
      </c>
      <c r="F9" t="n">
        <v>198</v>
      </c>
      <c r="G9" t="n">
        <v>924</v>
      </c>
      <c r="H9" t="n">
        <v>637</v>
      </c>
      <c r="I9" t="n">
        <v>784</v>
      </c>
      <c r="J9" t="n">
        <v>779</v>
      </c>
      <c r="K9" t="n">
        <v>778</v>
      </c>
      <c r="L9" t="n">
        <v>796</v>
      </c>
      <c r="M9" t="n">
        <v>1227</v>
      </c>
    </row>
    <row r="10">
      <c r="A10" t="inlineStr">
        <is>
          <t>Depreciation</t>
        </is>
      </c>
      <c r="B10" t="n">
        <v>1799</v>
      </c>
      <c r="C10" t="n">
        <v>1888</v>
      </c>
      <c r="D10" t="n">
        <v>1987</v>
      </c>
      <c r="E10" t="n">
        <v>2014</v>
      </c>
      <c r="F10" t="n">
        <v>2056</v>
      </c>
      <c r="G10" t="n">
        <v>3529</v>
      </c>
      <c r="H10" t="n">
        <v>4065</v>
      </c>
      <c r="I10" t="n">
        <v>4604</v>
      </c>
      <c r="J10" t="n">
        <v>5022</v>
      </c>
      <c r="K10" t="n">
        <v>4985</v>
      </c>
      <c r="L10" t="n">
        <v>5242</v>
      </c>
      <c r="M10" t="n">
        <v>5560</v>
      </c>
    </row>
    <row r="11">
      <c r="A11" t="inlineStr">
        <is>
          <t>Profit before tax</t>
        </is>
      </c>
      <c r="B11" t="n">
        <v>26298</v>
      </c>
      <c r="C11" t="n">
        <v>31840</v>
      </c>
      <c r="D11" t="n">
        <v>34513</v>
      </c>
      <c r="E11" t="n">
        <v>34092</v>
      </c>
      <c r="F11" t="n">
        <v>41563</v>
      </c>
      <c r="G11" t="n">
        <v>42248</v>
      </c>
      <c r="H11" t="n">
        <v>43760</v>
      </c>
      <c r="I11" t="n">
        <v>51687</v>
      </c>
      <c r="J11" t="n">
        <v>56907</v>
      </c>
      <c r="K11" t="n">
        <v>61997</v>
      </c>
      <c r="L11" t="n">
        <v>65331</v>
      </c>
      <c r="M11" t="n">
        <v>65487</v>
      </c>
    </row>
    <row r="12">
      <c r="A12" t="inlineStr">
        <is>
          <t>Tax %</t>
        </is>
      </c>
      <c r="B12" t="inlineStr">
        <is>
          <t>24%</t>
        </is>
      </c>
      <c r="C12" t="inlineStr">
        <is>
          <t>24%</t>
        </is>
      </c>
      <c r="D12" t="inlineStr">
        <is>
          <t>24%</t>
        </is>
      </c>
      <c r="E12" t="inlineStr">
        <is>
          <t>24%</t>
        </is>
      </c>
      <c r="F12" t="inlineStr">
        <is>
          <t>24%</t>
        </is>
      </c>
      <c r="G12" t="inlineStr">
        <is>
          <t>23%</t>
        </is>
      </c>
      <c r="H12" t="inlineStr">
        <is>
          <t>26%</t>
        </is>
      </c>
      <c r="I12" t="inlineStr">
        <is>
          <t>26%</t>
        </is>
      </c>
      <c r="J12" t="inlineStr">
        <is>
          <t>26%</t>
        </is>
      </c>
      <c r="K12" t="inlineStr">
        <is>
          <t>26%</t>
        </is>
      </c>
      <c r="L12" t="inlineStr">
        <is>
          <t>25%</t>
        </is>
      </c>
      <c r="M12" t="inlineStr">
        <is>
          <t>24%</t>
        </is>
      </c>
    </row>
    <row r="13">
      <c r="A13" t="inlineStr">
        <is>
          <t>Net Profit</t>
        </is>
      </c>
      <c r="B13" t="n">
        <v>20060</v>
      </c>
      <c r="C13" t="n">
        <v>24338</v>
      </c>
      <c r="D13" t="n">
        <v>26357</v>
      </c>
      <c r="E13" t="n">
        <v>25880</v>
      </c>
      <c r="F13" t="n">
        <v>31562</v>
      </c>
      <c r="G13" t="n">
        <v>32447</v>
      </c>
      <c r="H13" t="n">
        <v>32562</v>
      </c>
      <c r="I13" t="n">
        <v>38449</v>
      </c>
      <c r="J13" t="n">
        <v>42303</v>
      </c>
      <c r="K13" t="n">
        <v>46099</v>
      </c>
      <c r="L13" t="n">
        <v>48797</v>
      </c>
      <c r="M13" t="n">
        <v>49454</v>
      </c>
    </row>
    <row r="14">
      <c r="A14" t="inlineStr">
        <is>
          <t>EPS in Rs</t>
        </is>
      </c>
      <c r="B14" t="n">
        <v>50.68</v>
      </c>
      <c r="C14" t="n">
        <v>61.58</v>
      </c>
      <c r="D14" t="n">
        <v>66.70999999999999</v>
      </c>
      <c r="E14" t="n">
        <v>67.45999999999999</v>
      </c>
      <c r="F14" t="n">
        <v>83.87</v>
      </c>
      <c r="G14" t="n">
        <v>86.19</v>
      </c>
      <c r="H14" t="n">
        <v>87.67</v>
      </c>
      <c r="I14" t="n">
        <v>104.75</v>
      </c>
      <c r="J14" t="n">
        <v>115.19</v>
      </c>
      <c r="K14" t="n">
        <v>126.88</v>
      </c>
      <c r="L14" t="n">
        <v>134.2</v>
      </c>
      <c r="M14" t="n">
        <v>136.01</v>
      </c>
    </row>
    <row r="15">
      <c r="A15" t="inlineStr">
        <is>
          <t>Dividend Payout %</t>
        </is>
      </c>
      <c r="B15" t="inlineStr">
        <is>
          <t>78%</t>
        </is>
      </c>
      <c r="C15" t="inlineStr">
        <is>
          <t>35%</t>
        </is>
      </c>
      <c r="D15" t="inlineStr">
        <is>
          <t>35%</t>
        </is>
      </c>
      <c r="E15" t="inlineStr">
        <is>
          <t>37%</t>
        </is>
      </c>
      <c r="F15" t="inlineStr">
        <is>
          <t>36%</t>
        </is>
      </c>
      <c r="G15" t="inlineStr">
        <is>
          <t>85%</t>
        </is>
      </c>
      <c r="H15" t="inlineStr">
        <is>
          <t>43%</t>
        </is>
      </c>
      <c r="I15" t="inlineStr">
        <is>
          <t>41%</t>
        </is>
      </c>
      <c r="J15" t="inlineStr">
        <is>
          <t>100%</t>
        </is>
      </c>
      <c r="K15" t="inlineStr">
        <is>
          <t>58%</t>
        </is>
      </c>
      <c r="L15" t="inlineStr">
        <is>
          <t>94%</t>
        </is>
      </c>
      <c r="M15" t="inlineStr">
        <is>
          <t>81%</t>
        </is>
      </c>
    </row>
  </sheetData>
  <conditionalFormatting sqref="M4:M15">
    <cfRule type="colorScale" priority="1">
      <colorScale>
        <cfvo type="min"/>
        <cfvo type="max"/>
        <color rgb="00FFF1E6"/>
        <color rgb="00FF6B6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FF6B6B"/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Balance</t>
        </is>
      </c>
    </row>
    <row r="2"/>
    <row r="3">
      <c r="A3" s="4" t="inlineStr">
        <is>
          <t>Metric</t>
        </is>
      </c>
      <c r="B3" s="4" t="inlineStr">
        <is>
          <t>Mar 2015</t>
        </is>
      </c>
      <c r="C3" s="4" t="inlineStr">
        <is>
          <t>Mar 2016</t>
        </is>
      </c>
      <c r="D3" s="4" t="inlineStr">
        <is>
          <t>Mar 2017</t>
        </is>
      </c>
      <c r="E3" s="4" t="inlineStr">
        <is>
          <t>Mar 2018</t>
        </is>
      </c>
      <c r="F3" s="4" t="inlineStr">
        <is>
          <t>Mar 2019</t>
        </is>
      </c>
      <c r="G3" s="4" t="inlineStr">
        <is>
          <t>Mar 2020</t>
        </is>
      </c>
      <c r="H3" s="4" t="inlineStr">
        <is>
          <t>Mar 2021</t>
        </is>
      </c>
      <c r="I3" s="4" t="inlineStr">
        <is>
          <t>Mar 2022</t>
        </is>
      </c>
      <c r="J3" s="4" t="inlineStr">
        <is>
          <t>Mar 2023</t>
        </is>
      </c>
      <c r="K3" s="4" t="inlineStr">
        <is>
          <t>Mar 2024</t>
        </is>
      </c>
      <c r="L3" s="4" t="inlineStr">
        <is>
          <t>Mar 2025</t>
        </is>
      </c>
      <c r="M3" s="4" t="inlineStr">
        <is>
          <t>Mar 2026</t>
        </is>
      </c>
    </row>
    <row r="4">
      <c r="A4" t="inlineStr">
        <is>
          <t>Equity Capital</t>
        </is>
      </c>
      <c r="B4" t="n">
        <v>196</v>
      </c>
      <c r="C4" t="n">
        <v>197</v>
      </c>
      <c r="D4" t="n">
        <v>197</v>
      </c>
      <c r="E4" t="n">
        <v>191</v>
      </c>
      <c r="F4" t="n">
        <v>375</v>
      </c>
      <c r="G4" t="n">
        <v>375</v>
      </c>
      <c r="H4" t="n">
        <v>370</v>
      </c>
      <c r="I4" t="n">
        <v>366</v>
      </c>
      <c r="J4" t="n">
        <v>366</v>
      </c>
      <c r="K4" t="n">
        <v>362</v>
      </c>
      <c r="L4" t="n">
        <v>362</v>
      </c>
      <c r="M4" t="n">
        <v>362</v>
      </c>
    </row>
    <row r="5">
      <c r="A5" t="inlineStr">
        <is>
          <t>Reserves</t>
        </is>
      </c>
      <c r="B5" t="n">
        <v>50439</v>
      </c>
      <c r="C5" t="n">
        <v>70875</v>
      </c>
      <c r="D5" t="n">
        <v>86017</v>
      </c>
      <c r="E5" t="n">
        <v>84937</v>
      </c>
      <c r="F5" t="n">
        <v>89071</v>
      </c>
      <c r="G5" t="n">
        <v>83751</v>
      </c>
      <c r="H5" t="n">
        <v>86063</v>
      </c>
      <c r="I5" t="n">
        <v>88773</v>
      </c>
      <c r="J5" t="n">
        <v>90058</v>
      </c>
      <c r="K5" t="n">
        <v>90127</v>
      </c>
      <c r="L5" t="n">
        <v>94394</v>
      </c>
      <c r="M5" t="n">
        <v>106878</v>
      </c>
    </row>
    <row r="6">
      <c r="A6" t="inlineStr">
        <is>
          <t>Borrowings</t>
        </is>
      </c>
      <c r="B6" t="n">
        <v>358</v>
      </c>
      <c r="C6" t="n">
        <v>245</v>
      </c>
      <c r="D6" t="n">
        <v>289</v>
      </c>
      <c r="E6" t="n">
        <v>247</v>
      </c>
      <c r="F6" t="n">
        <v>62</v>
      </c>
      <c r="G6" t="n">
        <v>8174</v>
      </c>
      <c r="H6" t="n">
        <v>7795</v>
      </c>
      <c r="I6" t="n">
        <v>7818</v>
      </c>
      <c r="J6" t="n">
        <v>7688</v>
      </c>
      <c r="K6" t="n">
        <v>8021</v>
      </c>
      <c r="L6" t="n">
        <v>9392</v>
      </c>
      <c r="M6" t="n">
        <v>11283</v>
      </c>
    </row>
    <row r="7">
      <c r="A7" t="inlineStr">
        <is>
          <t>Other Liabilities</t>
        </is>
      </c>
      <c r="B7" t="n">
        <v>22325</v>
      </c>
      <c r="C7" t="n">
        <v>16974</v>
      </c>
      <c r="D7" t="n">
        <v>15830</v>
      </c>
      <c r="E7" t="n">
        <v>19751</v>
      </c>
      <c r="F7" t="n">
        <v>24393</v>
      </c>
      <c r="G7" t="n">
        <v>27827</v>
      </c>
      <c r="H7" t="n">
        <v>35764</v>
      </c>
      <c r="I7" t="n">
        <v>43967</v>
      </c>
      <c r="J7" t="n">
        <v>44747</v>
      </c>
      <c r="K7" t="n">
        <v>46962</v>
      </c>
      <c r="L7" t="n">
        <v>54501</v>
      </c>
      <c r="M7" t="n">
        <v>62644</v>
      </c>
    </row>
    <row r="8">
      <c r="A8" t="inlineStr">
        <is>
          <t>Total Liabilities</t>
        </is>
      </c>
      <c r="B8" t="n">
        <v>73318</v>
      </c>
      <c r="C8" t="n">
        <v>88291</v>
      </c>
      <c r="D8" t="n">
        <v>102333</v>
      </c>
      <c r="E8" t="n">
        <v>105126</v>
      </c>
      <c r="F8" t="n">
        <v>113901</v>
      </c>
      <c r="G8" t="n">
        <v>120127</v>
      </c>
      <c r="H8" t="n">
        <v>129992</v>
      </c>
      <c r="I8" t="n">
        <v>140924</v>
      </c>
      <c r="J8" t="n">
        <v>142859</v>
      </c>
      <c r="K8" t="n">
        <v>145472</v>
      </c>
      <c r="L8" t="n">
        <v>158649</v>
      </c>
      <c r="M8" t="n">
        <v>181167</v>
      </c>
    </row>
    <row r="9">
      <c r="A9" t="inlineStr">
        <is>
          <t>Fixed Assets</t>
        </is>
      </c>
      <c r="B9" t="n">
        <v>11638</v>
      </c>
      <c r="C9" t="n">
        <v>11774</v>
      </c>
      <c r="D9" t="n">
        <v>11701</v>
      </c>
      <c r="E9" t="n">
        <v>11973</v>
      </c>
      <c r="F9" t="n">
        <v>12290</v>
      </c>
      <c r="G9" t="n">
        <v>20928</v>
      </c>
      <c r="H9" t="n">
        <v>21021</v>
      </c>
      <c r="I9" t="n">
        <v>21298</v>
      </c>
      <c r="J9" t="n">
        <v>20515</v>
      </c>
      <c r="K9" t="n">
        <v>19604</v>
      </c>
      <c r="L9" t="n">
        <v>23053</v>
      </c>
      <c r="M9" t="n">
        <v>31343</v>
      </c>
    </row>
    <row r="10">
      <c r="A10" t="inlineStr">
        <is>
          <t>CWIP</t>
        </is>
      </c>
      <c r="B10" t="n">
        <v>2766</v>
      </c>
      <c r="C10" t="n">
        <v>1670</v>
      </c>
      <c r="D10" t="n">
        <v>1541</v>
      </c>
      <c r="E10" t="n">
        <v>1278</v>
      </c>
      <c r="F10" t="n">
        <v>963</v>
      </c>
      <c r="G10" t="n">
        <v>906</v>
      </c>
      <c r="H10" t="n">
        <v>926</v>
      </c>
      <c r="I10" t="n">
        <v>1205</v>
      </c>
      <c r="J10" t="n">
        <v>1234</v>
      </c>
      <c r="K10" t="n">
        <v>1564</v>
      </c>
      <c r="L10" t="n">
        <v>1546</v>
      </c>
      <c r="M10" t="n">
        <v>2665</v>
      </c>
    </row>
    <row r="11">
      <c r="A11" t="inlineStr">
        <is>
          <t>Investments</t>
        </is>
      </c>
      <c r="B11" t="n">
        <v>1662</v>
      </c>
      <c r="C11" t="n">
        <v>22822</v>
      </c>
      <c r="D11" t="n">
        <v>41980</v>
      </c>
      <c r="E11" t="n">
        <v>36008</v>
      </c>
      <c r="F11" t="n">
        <v>29330</v>
      </c>
      <c r="G11" t="n">
        <v>26356</v>
      </c>
      <c r="H11" t="n">
        <v>29373</v>
      </c>
      <c r="I11" t="n">
        <v>30485</v>
      </c>
      <c r="J11" t="n">
        <v>37163</v>
      </c>
      <c r="K11" t="n">
        <v>31762</v>
      </c>
      <c r="L11" t="n">
        <v>30964</v>
      </c>
      <c r="M11" t="n">
        <v>33988</v>
      </c>
    </row>
    <row r="12">
      <c r="A12" t="inlineStr">
        <is>
          <t>Other Assets</t>
        </is>
      </c>
      <c r="B12" t="n">
        <v>57252</v>
      </c>
      <c r="C12" t="n">
        <v>52025</v>
      </c>
      <c r="D12" t="n">
        <v>47111</v>
      </c>
      <c r="E12" t="n">
        <v>55867</v>
      </c>
      <c r="F12" t="n">
        <v>71318</v>
      </c>
      <c r="G12" t="n">
        <v>71937</v>
      </c>
      <c r="H12" t="n">
        <v>78672</v>
      </c>
      <c r="I12" t="n">
        <v>87936</v>
      </c>
      <c r="J12" t="n">
        <v>83947</v>
      </c>
      <c r="K12" t="n">
        <v>92542</v>
      </c>
      <c r="L12" t="n">
        <v>103086</v>
      </c>
      <c r="M12" t="n">
        <v>113171</v>
      </c>
    </row>
    <row r="13">
      <c r="A13" t="inlineStr">
        <is>
          <t>Total Assets</t>
        </is>
      </c>
      <c r="B13" t="n">
        <v>73318</v>
      </c>
      <c r="C13" t="n">
        <v>88291</v>
      </c>
      <c r="D13" t="n">
        <v>102333</v>
      </c>
      <c r="E13" t="n">
        <v>105126</v>
      </c>
      <c r="F13" t="n">
        <v>113901</v>
      </c>
      <c r="G13" t="n">
        <v>120127</v>
      </c>
      <c r="H13" t="n">
        <v>129992</v>
      </c>
      <c r="I13" t="n">
        <v>140924</v>
      </c>
      <c r="J13" t="n">
        <v>142859</v>
      </c>
      <c r="K13" t="n">
        <v>145472</v>
      </c>
      <c r="L13" t="n">
        <v>158649</v>
      </c>
      <c r="M13" t="n">
        <v>181167</v>
      </c>
    </row>
  </sheetData>
  <conditionalFormatting sqref="M4:M13">
    <cfRule type="colorScale" priority="1">
      <colorScale>
        <cfvo type="min"/>
        <cfvo type="max"/>
        <color rgb="00FFF1E6"/>
        <color rgb="00FF6B6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FF6B6B"/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Cash Flow</t>
        </is>
      </c>
    </row>
    <row r="2"/>
    <row r="3">
      <c r="A3" s="4" t="inlineStr">
        <is>
          <t>Metric</t>
        </is>
      </c>
      <c r="B3" s="4" t="inlineStr">
        <is>
          <t>Mar 2015</t>
        </is>
      </c>
      <c r="C3" s="4" t="inlineStr">
        <is>
          <t>Mar 2016</t>
        </is>
      </c>
      <c r="D3" s="4" t="inlineStr">
        <is>
          <t>Mar 2017</t>
        </is>
      </c>
      <c r="E3" s="4" t="inlineStr">
        <is>
          <t>Mar 2018</t>
        </is>
      </c>
      <c r="F3" s="4" t="inlineStr">
        <is>
          <t>Mar 2019</t>
        </is>
      </c>
      <c r="G3" s="4" t="inlineStr">
        <is>
          <t>Mar 2020</t>
        </is>
      </c>
      <c r="H3" s="4" t="inlineStr">
        <is>
          <t>Mar 2021</t>
        </is>
      </c>
      <c r="I3" s="4" t="inlineStr">
        <is>
          <t>Mar 2022</t>
        </is>
      </c>
      <c r="J3" s="4" t="inlineStr">
        <is>
          <t>Mar 2023</t>
        </is>
      </c>
      <c r="K3" s="4" t="inlineStr">
        <is>
          <t>Mar 2024</t>
        </is>
      </c>
      <c r="L3" s="4" t="inlineStr">
        <is>
          <t>Mar 2025</t>
        </is>
      </c>
      <c r="M3" s="4" t="inlineStr">
        <is>
          <t>Mar 2026</t>
        </is>
      </c>
    </row>
    <row r="4">
      <c r="A4" t="inlineStr">
        <is>
          <t>Cash from Operating Activity</t>
        </is>
      </c>
      <c r="B4" t="n">
        <v>19369</v>
      </c>
      <c r="C4" t="n">
        <v>19109</v>
      </c>
      <c r="D4" t="n">
        <v>25223</v>
      </c>
      <c r="E4" t="n">
        <v>25067</v>
      </c>
      <c r="F4" t="n">
        <v>28593</v>
      </c>
      <c r="G4" t="n">
        <v>32369</v>
      </c>
      <c r="H4" t="n">
        <v>38802</v>
      </c>
      <c r="I4" t="n">
        <v>39949</v>
      </c>
      <c r="J4" t="n">
        <v>41965</v>
      </c>
      <c r="K4" t="n">
        <v>44338</v>
      </c>
      <c r="L4" t="n">
        <v>48908</v>
      </c>
      <c r="M4" t="n">
        <v>52094</v>
      </c>
    </row>
    <row r="5">
      <c r="A5" t="inlineStr">
        <is>
          <t>Cash from Investing Activity</t>
        </is>
      </c>
      <c r="B5" t="n">
        <v>-1807</v>
      </c>
      <c r="C5" t="n">
        <v>-5010</v>
      </c>
      <c r="D5" t="n">
        <v>-16895</v>
      </c>
      <c r="E5" t="n">
        <v>3104</v>
      </c>
      <c r="F5" t="n">
        <v>1645</v>
      </c>
      <c r="G5" t="n">
        <v>8968</v>
      </c>
      <c r="H5" t="n">
        <v>-7956</v>
      </c>
      <c r="I5" t="n">
        <v>-738</v>
      </c>
      <c r="J5" t="n">
        <v>548</v>
      </c>
      <c r="K5" t="n">
        <v>6091</v>
      </c>
      <c r="L5" t="n">
        <v>-2144</v>
      </c>
      <c r="M5" t="n">
        <v>-11886</v>
      </c>
    </row>
    <row r="6">
      <c r="A6" t="inlineStr">
        <is>
          <t>Cash from Financing Activity</t>
        </is>
      </c>
      <c r="B6" t="n">
        <v>-17168</v>
      </c>
      <c r="C6" t="n">
        <v>-9666</v>
      </c>
      <c r="D6" t="n">
        <v>-11026</v>
      </c>
      <c r="E6" t="n">
        <v>-26885</v>
      </c>
      <c r="F6" t="n">
        <v>-27897</v>
      </c>
      <c r="G6" t="n">
        <v>-39915</v>
      </c>
      <c r="H6" t="n">
        <v>-32634</v>
      </c>
      <c r="I6" t="n">
        <v>-33581</v>
      </c>
      <c r="J6" t="n">
        <v>-47878</v>
      </c>
      <c r="K6" t="n">
        <v>-48536</v>
      </c>
      <c r="L6" t="n">
        <v>-47438</v>
      </c>
      <c r="M6" t="n">
        <v>-42133</v>
      </c>
    </row>
    <row r="7">
      <c r="A7" t="inlineStr">
        <is>
          <t>Net Cash Flow</t>
        </is>
      </c>
      <c r="B7" t="n">
        <v>394</v>
      </c>
      <c r="C7" t="n">
        <v>4433</v>
      </c>
      <c r="D7" t="n">
        <v>-2698</v>
      </c>
      <c r="E7" t="n">
        <v>1286</v>
      </c>
      <c r="F7" t="n">
        <v>2341</v>
      </c>
      <c r="G7" t="n">
        <v>1422</v>
      </c>
      <c r="H7" t="n">
        <v>-1788</v>
      </c>
      <c r="I7" t="n">
        <v>5630</v>
      </c>
      <c r="J7" t="n">
        <v>-5365</v>
      </c>
      <c r="K7" t="n">
        <v>1893</v>
      </c>
      <c r="L7" t="n">
        <v>-674</v>
      </c>
      <c r="M7" t="n">
        <v>-1925</v>
      </c>
    </row>
    <row r="8">
      <c r="A8" t="inlineStr">
        <is>
          <t>Free Cash Flow</t>
        </is>
      </c>
      <c r="B8" t="n">
        <v>16426</v>
      </c>
      <c r="C8" t="n">
        <v>17144</v>
      </c>
      <c r="D8" t="n">
        <v>23270</v>
      </c>
      <c r="E8" t="n">
        <v>23263</v>
      </c>
      <c r="F8" t="n">
        <v>26461</v>
      </c>
      <c r="G8" t="n">
        <v>29281</v>
      </c>
      <c r="H8" t="n">
        <v>35663</v>
      </c>
      <c r="I8" t="n">
        <v>36985</v>
      </c>
      <c r="J8" t="n">
        <v>38902</v>
      </c>
      <c r="K8" t="n">
        <v>41688</v>
      </c>
      <c r="L8" t="n">
        <v>44994</v>
      </c>
      <c r="M8" t="n">
        <v>48013</v>
      </c>
    </row>
    <row r="9">
      <c r="A9" t="inlineStr">
        <is>
          <t>CFO/OP</t>
        </is>
      </c>
      <c r="B9" t="inlineStr">
        <is>
          <t>110%</t>
        </is>
      </c>
      <c r="C9" t="inlineStr">
        <is>
          <t>87%</t>
        </is>
      </c>
      <c r="D9" t="inlineStr">
        <is>
          <t>103%</t>
        </is>
      </c>
      <c r="E9" t="inlineStr">
        <is>
          <t>100%</t>
        </is>
      </c>
      <c r="F9" t="inlineStr">
        <is>
          <t>98%</t>
        </is>
      </c>
      <c r="G9" t="inlineStr">
        <is>
          <t>91%</t>
        </is>
      </c>
      <c r="H9" t="inlineStr">
        <is>
          <t>103%</t>
        </is>
      </c>
      <c r="I9" t="inlineStr">
        <is>
          <t>97%</t>
        </is>
      </c>
      <c r="J9" t="inlineStr">
        <is>
          <t>93%</t>
        </is>
      </c>
      <c r="K9" t="inlineStr">
        <is>
          <t>88%</t>
        </is>
      </c>
      <c r="L9" t="inlineStr">
        <is>
          <t>96%</t>
        </is>
      </c>
      <c r="M9" t="inlineStr">
        <is>
          <t>92%</t>
        </is>
      </c>
    </row>
  </sheetData>
  <conditionalFormatting sqref="M4:M9">
    <cfRule type="colorScale" priority="1">
      <colorScale>
        <cfvo type="min"/>
        <cfvo type="max"/>
        <color rgb="00FFF1E6"/>
        <color rgb="00FF6B6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F7EFE5"/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DCF Inputs &amp; Assumptions</t>
        </is>
      </c>
    </row>
    <row r="2"/>
    <row r="3">
      <c r="A3" s="4" t="inlineStr">
        <is>
          <t>Assumption</t>
        </is>
      </c>
      <c r="B3" s="4" t="inlineStr">
        <is>
          <t>Value</t>
        </is>
      </c>
    </row>
    <row r="4">
      <c r="A4" t="inlineStr">
        <is>
          <t>Revenue growth rate (Yr 1-5)</t>
        </is>
      </c>
      <c r="B4" s="5" t="n">
        <v>0.11</v>
      </c>
    </row>
    <row r="5">
      <c r="A5" t="inlineStr">
        <is>
          <t>Discount rate (WACC)</t>
        </is>
      </c>
      <c r="B5" s="5" t="n">
        <v>0.125</v>
      </c>
    </row>
    <row r="6">
      <c r="A6" t="inlineStr">
        <is>
          <t>Terminal growth rate</t>
        </is>
      </c>
      <c r="B6" s="5" t="n">
        <v>0.04</v>
      </c>
    </row>
    <row r="7">
      <c r="A7" t="inlineStr">
        <is>
          <t>Projection years</t>
        </is>
      </c>
      <c r="B7" t="n">
        <v>5</v>
      </c>
    </row>
    <row r="8"/>
    <row r="9">
      <c r="A9" s="6" t="inlineStr">
        <is>
          <t>Note: populate base-year free cash flow from the Cash Flow sheet and extend this sheet with year-by-year projections as needed.</t>
        </is>
      </c>
    </row>
  </sheetData>
  <mergeCells count="1">
    <mergeCell ref="A9:D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2026-06-28T07:58:34Z</dcterms:created>
  <dcterms:modified xmlns:dcterms="http://purl.org/dc/terms/" xmlns:xsi="http://www.w3.org/2001/XMLSchema-instance" xsi:type="dcterms:W3CDTF">2026-06-28T07:58:34Z</dcterms:modified>
</cp:coreProperties>
</file>